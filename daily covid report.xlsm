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gis\project\covid_analysis\"/>
    </mc:Choice>
  </mc:AlternateContent>
  <xr:revisionPtr revIDLastSave="0" documentId="13_ncr:1_{3127E1AA-37AB-496A-9228-E423F10E8794}" xr6:coauthVersionLast="45" xr6:coauthVersionMax="45" xr10:uidLastSave="{00000000-0000-0000-0000-000000000000}"/>
  <bookViews>
    <workbookView xWindow="-98" yWindow="-98" windowWidth="28996" windowHeight="15796" activeTab="2" xr2:uid="{9478044A-5771-4715-AC20-4E3ABA1818BB}"/>
  </bookViews>
  <sheets>
    <sheet name="data" sheetId="1" r:id="rId1"/>
    <sheet name="report" sheetId="2" state="hidden" r:id="rId2"/>
    <sheet name="report_v" sheetId="3" r:id="rId3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3" l="1"/>
  <c r="H2" i="3"/>
  <c r="G2" i="3"/>
  <c r="F2" i="3"/>
  <c r="E2" i="3"/>
  <c r="D2" i="3"/>
  <c r="C2" i="3"/>
  <c r="F3" i="3" l="1"/>
  <c r="F11" i="3"/>
  <c r="F12" i="3"/>
  <c r="C12" i="3"/>
  <c r="C10" i="3"/>
  <c r="C11" i="3"/>
  <c r="D3" i="3"/>
  <c r="D12" i="3"/>
  <c r="D11" i="3"/>
  <c r="E3" i="3"/>
  <c r="E11" i="3"/>
  <c r="E12" i="3"/>
  <c r="G3" i="3"/>
  <c r="G11" i="3"/>
  <c r="G12" i="3"/>
  <c r="H7" i="3"/>
  <c r="H12" i="3"/>
  <c r="H11" i="3"/>
  <c r="I9" i="3"/>
  <c r="I12" i="3"/>
  <c r="I11" i="3"/>
  <c r="C6" i="3"/>
  <c r="C3" i="3"/>
  <c r="C4" i="3"/>
  <c r="C5" i="3"/>
  <c r="E6" i="3"/>
  <c r="D6" i="3"/>
  <c r="H6" i="3"/>
  <c r="F6" i="3"/>
  <c r="H10" i="3"/>
  <c r="H4" i="3"/>
  <c r="F10" i="3"/>
  <c r="F4" i="3"/>
  <c r="E10" i="3"/>
  <c r="E4" i="3"/>
  <c r="E8" i="3" s="1"/>
  <c r="D10" i="3"/>
  <c r="D4" i="3"/>
  <c r="I10" i="3"/>
  <c r="I6" i="3"/>
  <c r="I4" i="3"/>
  <c r="G10" i="3"/>
  <c r="G6" i="3"/>
  <c r="G4" i="3"/>
  <c r="I3" i="3"/>
  <c r="H5" i="3"/>
  <c r="H3" i="3"/>
  <c r="I5" i="3"/>
  <c r="H9" i="3"/>
  <c r="C7" i="3"/>
  <c r="G9" i="3"/>
  <c r="G7" i="3"/>
  <c r="G5" i="3"/>
  <c r="I7" i="3"/>
  <c r="F9" i="3"/>
  <c r="F7" i="3"/>
  <c r="F5" i="3"/>
  <c r="C9" i="3"/>
  <c r="E9" i="3"/>
  <c r="E7" i="3"/>
  <c r="E5" i="3"/>
  <c r="D9" i="3"/>
  <c r="D7" i="3"/>
  <c r="D5" i="3"/>
  <c r="A2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A3" i="2"/>
  <c r="A4" i="2"/>
  <c r="A5" i="2"/>
  <c r="A6" i="2"/>
  <c r="A7" i="2"/>
  <c r="A8" i="2"/>
  <c r="F8" i="3" l="1"/>
  <c r="G8" i="3"/>
  <c r="C8" i="3"/>
  <c r="D8" i="3"/>
  <c r="H8" i="3"/>
  <c r="I8" i="3"/>
</calcChain>
</file>

<file path=xl/sharedStrings.xml><?xml version="1.0" encoding="utf-8"?>
<sst xmlns="http://schemas.openxmlformats.org/spreadsheetml/2006/main" count="68" uniqueCount="44">
  <si>
    <t>date</t>
  </si>
  <si>
    <t>cases</t>
  </si>
  <si>
    <t>deaths</t>
  </si>
  <si>
    <t>new cases</t>
  </si>
  <si>
    <t>new deaths</t>
  </si>
  <si>
    <t>infection rate</t>
  </si>
  <si>
    <t>infection rate weekly avg</t>
  </si>
  <si>
    <t>case growth</t>
  </si>
  <si>
    <t>日期</t>
  </si>
  <si>
    <t>总感染人数</t>
  </si>
  <si>
    <t>总死亡人数</t>
  </si>
  <si>
    <t>新感染人数</t>
  </si>
  <si>
    <t>新死亡人数</t>
  </si>
  <si>
    <t>当前感染人数</t>
  </si>
  <si>
    <t>感染率</t>
  </si>
  <si>
    <t>总感染人数增长率</t>
  </si>
  <si>
    <t>感染率（周平均）</t>
  </si>
  <si>
    <t>趋势图</t>
  </si>
  <si>
    <t>：过去21天新感染人数-新死亡人数总合</t>
  </si>
  <si>
    <t>：新感染人数/当前感染人数</t>
  </si>
  <si>
    <t>：新感染人数/总感染人数</t>
  </si>
  <si>
    <t>current active</t>
  </si>
  <si>
    <t>*图像基于过去六个月数据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</si>
  <si>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</si>
  <si>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</si>
  <si>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</si>
  <si>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</si>
  <si>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</si>
  <si>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</si>
  <si>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</si>
  <si>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</si>
  <si>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hospitalizedCurrently</t>
  </si>
  <si>
    <t>hospitalizedIncrease</t>
  </si>
  <si>
    <t>*21天为平均新冠患病时长</t>
  </si>
  <si>
    <t>：当前感染人数/人口（盐湖县：112万）</t>
  </si>
  <si>
    <t>目前住院人数</t>
  </si>
  <si>
    <t>目前住院人数（州）</t>
  </si>
  <si>
    <t>新增住院人数（州）</t>
  </si>
  <si>
    <t>新增住院人数</t>
  </si>
  <si>
    <t>：历史总住院人数增长量</t>
  </si>
  <si>
    <t>*非目前住院人数净增长量</t>
  </si>
  <si>
    <t>*因美国缺失痊愈人数统计故采用本方法</t>
  </si>
  <si>
    <t>：过去21天（新感染人数-新死亡人数）总合</t>
  </si>
  <si>
    <t>感染死亡率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</si>
</sst>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icrosoft YaHei Light"/>
      <family val="2"/>
      <charset val="134"/>
    </font>
    <font>
      <b/>
      <sz val="11"/>
      <color theme="4" tint="-0.249977111117893"/>
      <name val="Microsoft YaHei Light"/>
      <family val="2"/>
      <charset val="134"/>
    </font>
    <font>
      <b/>
      <sz val="11"/>
      <color theme="1"/>
      <name val="Microsoft YaHei Light"/>
      <family val="2"/>
      <charset val="134"/>
    </font>
    <font>
      <b/>
      <sz val="16"/>
      <color theme="4" tint="-0.249977111117893"/>
      <name val="Microsoft YaHei Light"/>
      <family val="2"/>
      <charset val="134"/>
    </font>
    <font>
      <i/>
      <sz val="11"/>
      <color theme="4" tint="-0.249977111117893"/>
      <name val="Microsoft YaHei Light"/>
      <family val="2"/>
      <charset val="134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name val="Microsoft YaHei Light"/>
      <family val="2"/>
    </font>
    <font>
      <sz val="16"/>
      <color theme="4" tint="-0.249977111117893"/>
      <name val="Microsoft YaHei"/>
      <family val="2"/>
    </font>
    <font>
      <sz val="11"/>
      <color theme="1"/>
      <name val="Microsoft YaHei"/>
      <family val="2"/>
    </font>
    <font>
      <sz val="11"/>
      <color theme="4" tint="-0.249977111117893"/>
      <name val="Microsoft YaHei"/>
      <family val="2"/>
    </font>
    <font>
      <sz val="11"/>
      <color theme="4" tint="-0.249977111117893"/>
      <name val="Microsoft YaHei Light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indent="2"/>
    </xf>
    <xf numFmtId="10" fontId="0" fillId="0" borderId="0" xfId="1" applyNumberFormat="1" applyFont="1" applyAlignment="1">
      <alignment horizontal="right" indent="2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/>
    </xf>
    <xf numFmtId="37" fontId="0" fillId="0" borderId="0" xfId="2" applyNumberFormat="1" applyFont="1" applyAlignment="1">
      <alignment horizontal="right" indent="2"/>
    </xf>
    <xf numFmtId="37" fontId="0" fillId="0" borderId="0" xfId="2" applyNumberFormat="1" applyFont="1" applyAlignment="1">
      <alignment horizontal="right" indent="3"/>
    </xf>
    <xf numFmtId="10" fontId="0" fillId="0" borderId="0" xfId="1" applyNumberFormat="1" applyFont="1" applyAlignment="1">
      <alignment horizontal="right" indent="3"/>
    </xf>
    <xf numFmtId="0" fontId="9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left" vertical="center"/>
    </xf>
    <xf numFmtId="0" fontId="11" fillId="0" borderId="0" xfId="0" applyFont="1" applyAlignment="1">
      <alignment horizontal="right" indent="2"/>
    </xf>
    <xf numFmtId="0" fontId="12" fillId="0" borderId="0" xfId="0" applyFont="1" applyBorder="1" applyAlignment="1">
      <alignment horizontal="left" vertical="center"/>
    </xf>
    <xf numFmtId="0" fontId="11" fillId="0" borderId="0" xfId="0" applyFont="1" applyAlignment="1"/>
    <xf numFmtId="0" fontId="11" fillId="0" borderId="0" xfId="0" applyFont="1"/>
    <xf numFmtId="164" fontId="11" fillId="0" borderId="0" xfId="0" applyNumberFormat="1" applyFont="1" applyAlignment="1">
      <alignment horizontal="center"/>
    </xf>
    <xf numFmtId="37" fontId="11" fillId="0" borderId="0" xfId="2" applyNumberFormat="1" applyFont="1" applyAlignment="1">
      <alignment horizontal="right" indent="2"/>
    </xf>
    <xf numFmtId="164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37" fontId="1" fillId="0" borderId="0" xfId="2" applyNumberFormat="1" applyFont="1" applyAlignment="1">
      <alignment horizontal="right" vertical="center" indent="1"/>
    </xf>
    <xf numFmtId="10" fontId="1" fillId="0" borderId="0" xfId="1" applyNumberFormat="1" applyFont="1" applyAlignment="1">
      <alignment horizontal="right" vertical="center" indent="1"/>
    </xf>
    <xf numFmtId="0" fontId="11" fillId="0" borderId="0" xfId="0" applyFont="1" applyFill="1" applyAlignment="1">
      <alignment horizontal="right" vertical="center"/>
    </xf>
    <xf numFmtId="0" fontId="13" fillId="0" borderId="0" xfId="0" applyFont="1" applyBorder="1" applyAlignment="1">
      <alignment horizontal="left" vertical="center"/>
    </xf>
    <xf numFmtId="0" fontId="0" fillId="0" borderId="0" xfId="0" applyFont="1"/>
    <xf numFmtId="0" fontId="13" fillId="0" borderId="0" xfId="0" applyFont="1" applyFill="1" applyBorder="1" applyAlignment="1">
      <alignment horizontal="left" vertical="center"/>
    </xf>
  </cellXfs>
  <cellStyles count="3">
    <cellStyle name="Comma" xfId="2" builtinId="3"/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mm/d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numFmt numFmtId="5" formatCode="#,##0_);\(#,##0\)"/>
      <alignment horizontal="right" vertical="bottom" textRotation="0" wrapText="0" relativeIndent="1" justifyLastLine="0" shrinkToFit="0" readingOrder="0"/>
    </dxf>
    <dxf>
      <numFmt numFmtId="5" formatCode="#,##0_);\(#,##0\)"/>
      <alignment horizontal="right" vertical="bottom" textRotation="0" wrapText="0" relativeIndent="1" justifyLastLine="0" shrinkToFit="0" readingOrder="0"/>
    </dxf>
    <dxf>
      <numFmt numFmtId="5" formatCode="#,##0_);\(#,##0\)"/>
      <alignment horizontal="right" vertical="bottom" textRotation="0" wrapText="0" relativeIndent="1" justifyLastLine="0" shrinkToFit="0" readingOrder="0"/>
    </dxf>
    <dxf>
      <numFmt numFmtId="5" formatCode="#,##0_);\(#,##0\)"/>
      <alignment horizontal="right" vertical="bottom" textRotation="0" wrapText="0" relativeIndent="1" justifyLastLine="0" shrinkToFit="0" readingOrder="0"/>
    </dxf>
    <dxf>
      <numFmt numFmtId="5" formatCode="#,##0_);\(#,##0\)"/>
      <alignment horizontal="right" vertical="bottom" textRotation="0" wrapText="0" relativeIndent="1" justifyLastLine="0" shrinkToFit="0" readingOrder="0"/>
    </dxf>
    <dxf>
      <numFmt numFmtId="164" formatCode="mm/d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3" justifyLastLine="0" shrinkToFit="0" readingOrder="0"/>
    </dxf>
    <dxf>
      <font>
        <strike val="0"/>
        <outline val="0"/>
        <shadow val="0"/>
        <u val="none"/>
        <vertAlign val="baseline"/>
        <color theme="1"/>
        <name val="Microsoft YaHei Light"/>
        <family val="2"/>
        <charset val="13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</xdr:row>
          <xdr:rowOff>166688</xdr:rowOff>
        </xdr:from>
        <xdr:to>
          <xdr:col>12</xdr:col>
          <xdr:colOff>509588</xdr:colOff>
          <xdr:row>5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13528</xdr:rowOff>
    </xdr:from>
    <xdr:to>
      <xdr:col>2</xdr:col>
      <xdr:colOff>695739</xdr:colOff>
      <xdr:row>23</xdr:row>
      <xdr:rowOff>112920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805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1095789</xdr:colOff>
      <xdr:row>11</xdr:row>
      <xdr:rowOff>13528</xdr:rowOff>
    </xdr:from>
    <xdr:to>
      <xdr:col>5</xdr:col>
      <xdr:colOff>974311</xdr:colOff>
      <xdr:row>23</xdr:row>
      <xdr:rowOff>112920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5050" y="217805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1171161</xdr:colOff>
      <xdr:row>11</xdr:row>
      <xdr:rowOff>13528</xdr:rowOff>
    </xdr:from>
    <xdr:to>
      <xdr:col>8</xdr:col>
      <xdr:colOff>734943</xdr:colOff>
      <xdr:row>23</xdr:row>
      <xdr:rowOff>112920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217805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38376</xdr:rowOff>
    </xdr:from>
    <xdr:to>
      <xdr:col>2</xdr:col>
      <xdr:colOff>695739</xdr:colOff>
      <xdr:row>37</xdr:row>
      <xdr:rowOff>137767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1095789</xdr:colOff>
      <xdr:row>25</xdr:row>
      <xdr:rowOff>38376</xdr:rowOff>
    </xdr:from>
    <xdr:to>
      <xdr:col>5</xdr:col>
      <xdr:colOff>974311</xdr:colOff>
      <xdr:row>37</xdr:row>
      <xdr:rowOff>137767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5050" y="4781550"/>
          <a:ext cx="3175000" cy="228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604838</xdr:colOff>
      <xdr:row>14</xdr:row>
      <xdr:rowOff>199185</xdr:rowOff>
    </xdr:from>
    <xdr:to>
      <xdr:col>4</xdr:col>
      <xdr:colOff>447956</xdr:colOff>
      <xdr:row>27</xdr:row>
      <xdr:rowOff>187979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60A3071-C860-4460-B409-3EFBE8B42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8" y="2776538"/>
          <a:ext cx="3810000" cy="2476500"/>
        </a:xfrm>
        <a:prstGeom prst="rect">
          <a:avLst/>
        </a:prstGeom>
      </xdr:spPr>
    </xdr:pic>
    <xdr:clientData/>
  </xdr:twoCellAnchor>
  <xdr:twoCellAnchor editAs="oneCell">
    <xdr:from>
      <xdr:col>0</xdr:col>
      <xdr:colOff>604838</xdr:colOff>
      <xdr:row>28</xdr:row>
      <xdr:rowOff>187979</xdr:rowOff>
    </xdr:from>
    <xdr:to>
      <xdr:col>4</xdr:col>
      <xdr:colOff>447956</xdr:colOff>
      <xdr:row>41</xdr:row>
      <xdr:rowOff>187979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35CEAA8-961C-436D-B4DC-74F8A204E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8" y="5443538"/>
          <a:ext cx="3810000" cy="2476500"/>
        </a:xfrm>
        <a:prstGeom prst="rect">
          <a:avLst/>
        </a:prstGeom>
      </xdr:spPr>
    </xdr:pic>
    <xdr:clientData/>
  </xdr:twoCellAnchor>
  <xdr:twoCellAnchor editAs="oneCell">
    <xdr:from>
      <xdr:col>0</xdr:col>
      <xdr:colOff>604838</xdr:colOff>
      <xdr:row>42</xdr:row>
      <xdr:rowOff>187979</xdr:rowOff>
    </xdr:from>
    <xdr:to>
      <xdr:col>4</xdr:col>
      <xdr:colOff>447956</xdr:colOff>
      <xdr:row>55</xdr:row>
      <xdr:rowOff>165567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4CB7ECA-837B-4AFA-BE5B-B9D55A99E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8" y="8110538"/>
          <a:ext cx="3810000" cy="2476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14</xdr:row>
      <xdr:rowOff>199185</xdr:rowOff>
    </xdr:from>
    <xdr:to>
      <xdr:col>8</xdr:col>
      <xdr:colOff>851647</xdr:colOff>
      <xdr:row>27</xdr:row>
      <xdr:rowOff>187979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78E5E10-F56D-4179-BDFC-89EFF3E96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2776538"/>
          <a:ext cx="3810000" cy="2476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187979</xdr:rowOff>
    </xdr:from>
    <xdr:to>
      <xdr:col>8</xdr:col>
      <xdr:colOff>851647</xdr:colOff>
      <xdr:row>41</xdr:row>
      <xdr:rowOff>187979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0CEFBF6-7D30-4C3A-AF1F-1274E203B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5443538"/>
          <a:ext cx="3810000" cy="2476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42283-22BD-4E6E-AA67-665AB9C63A11}" name="Table1" displayName="Table1" ref="A1:I8" totalsRowShown="0" headerRowDxfId="20" dataDxfId="19" dataCellStyle="Percent">
  <autoFilter ref="A1:I8" xr:uid="{39A7EB20-B8A7-4A88-8756-885B6957C778}"/>
  <tableColumns count="9">
    <tableColumn id="1" xr3:uid="{8055E020-ADEC-462C-92D9-6C1A6F2C1D2B}" name="日期" dataDxfId="18">
      <calculatedColumnFormula>data!B2</calculatedColumnFormula>
    </tableColumn>
    <tableColumn id="4" xr3:uid="{B7762C95-4E5D-4D0B-8638-998A78029AAE}" name="总感染人数" dataDxfId="17" dataCellStyle="Comma"/>
    <tableColumn id="5" xr3:uid="{B1575B0B-C484-4805-9C4B-3F5A8C50587C}" name="总死亡人数" dataDxfId="16" dataCellStyle="Comma"/>
    <tableColumn id="7" xr3:uid="{C6A53FA1-DC57-4113-AFCC-13D11A12F91E}" name="新感染人数" dataDxfId="15" dataCellStyle="Comma"/>
    <tableColumn id="8" xr3:uid="{A3F647EA-02E1-42F2-B42D-8DE7EA05E5D5}" name="新死亡人数" dataDxfId="14" dataCellStyle="Comma"/>
    <tableColumn id="10" xr3:uid="{8E6BF0EA-C9C0-431A-B92E-19B924E02C65}" name="当前感染人数" dataDxfId="13" dataCellStyle="Comma"/>
    <tableColumn id="11" xr3:uid="{7BA27AF2-8828-42F6-99E3-9A51CBF35F04}" name="感染率" dataDxfId="12" dataCellStyle="Percent"/>
    <tableColumn id="12" xr3:uid="{D578E959-C802-49E0-B0CD-6F1252D2CFD6}" name="感染率（周平均）" dataDxfId="11" dataCellStyle="Percent"/>
    <tableColumn id="13" xr3:uid="{C9829933-1B97-4B95-9F70-4C4DBA4B5B74}" name="总感染人数增长率" dataDxfId="10" dataCellStyle="Percent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2E53E0-1222-47C3-B216-B837285E3F82}" name="Table5" displayName="Table5" ref="B1:I12" totalsRowShown="0" headerRowDxfId="9" dataDxfId="8" dataCellStyle="Comma">
  <autoFilter ref="B1:I12" xr:uid="{FC61448A-C353-4F2C-AA7F-59C73BEFA84F}"/>
  <tableColumns count="8">
    <tableColumn id="1" xr3:uid="{387D559D-FC86-4FFE-9E45-02924609690A}" name="Column1" dataDxfId="7"/>
    <tableColumn id="2" xr3:uid="{5205F5C6-6FEE-452C-8EF7-F326F877A3D5}" name="Column2" dataDxfId="6" dataCellStyle="Comma"/>
    <tableColumn id="3" xr3:uid="{8983FDFC-E4FF-4805-AF19-DEED05B503C4}" name="Column3" dataDxfId="5" dataCellStyle="Comma"/>
    <tableColumn id="4" xr3:uid="{67DAE256-55A5-4CF6-A430-96363D452905}" name="Column4" dataDxfId="4" dataCellStyle="Comma"/>
    <tableColumn id="5" xr3:uid="{0724E56B-8697-4A8D-B916-9298752F0FF2}" name="Column5" dataDxfId="3" dataCellStyle="Comma"/>
    <tableColumn id="6" xr3:uid="{D15F7B76-C824-4864-A0E2-648B3695B2C6}" name="Column6" dataDxfId="2" dataCellStyle="Comma"/>
    <tableColumn id="7" xr3:uid="{36DDB786-6925-4FCA-88D7-81B5799D8DE0}" name="Column7" dataDxfId="1" dataCellStyle="Comma"/>
    <tableColumn id="8" xr3:uid="{BABF7088-561D-4D83-9841-AAD63BE82204}" name="Column8" dataDxfId="0" dataCellStyle="Comma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829D6-0E5C-4DE5-9E47-1BDDE9564EC3}">
  <sheetPr codeName="Sheet1"/>
  <dimension ref="B1:L8"/>
  <sheetViews>
    <sheetView zoomScaleNormal="100" workbookViewId="0">
      <selection activeCell="B34" sqref="B34"/>
    </sheetView>
  </sheetViews>
  <sheetFormatPr defaultRowHeight="14.25" x14ac:dyDescent="0.45"/>
  <cols>
    <col min="2" max="2" width="10.73046875" bestFit="1" customWidth="1"/>
  </cols>
  <sheetData>
    <row r="1" spans="2:12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5</v>
      </c>
      <c r="I1" t="s">
        <v>6</v>
      </c>
      <c r="J1" t="s">
        <v>7</v>
      </c>
      <c r="K1" t="s">
        <v>31</v>
      </c>
      <c r="L1" t="s">
        <v>32</v>
      </c>
    </row>
    <row r="2" spans="2:12" x14ac:dyDescent="0.45">
      <c r="B2" s="1">
        <v>44187</v>
      </c>
      <c r="C2">
        <v>100482</v>
      </c>
      <c r="D2">
        <v>516</v>
      </c>
      <c r="E2">
        <v>608</v>
      </c>
      <c r="F2">
        <v>4</v>
      </c>
      <c r="G2">
        <v>19036</v>
      </c>
      <c r="H2">
        <v>1.6984221162468002E-2</v>
      </c>
      <c r="I2">
        <v>1.7338813238189098E-2</v>
      </c>
      <c r="J2">
        <v>6.08767046478563E-3</v>
      </c>
      <c r="K2">
        <v>584</v>
      </c>
      <c r="L2">
        <v>144</v>
      </c>
    </row>
    <row r="3" spans="2:12" x14ac:dyDescent="0.45">
      <c r="B3" s="1">
        <v>44188</v>
      </c>
      <c r="C3">
        <v>101258</v>
      </c>
      <c r="D3">
        <v>527</v>
      </c>
      <c r="E3">
        <v>776</v>
      </c>
      <c r="F3">
        <v>11</v>
      </c>
      <c r="G3">
        <v>18329</v>
      </c>
      <c r="H3">
        <v>1.6353424547534998E-2</v>
      </c>
      <c r="I3">
        <v>1.71769397888125E-2</v>
      </c>
      <c r="J3">
        <v>7.7227762186262202E-3</v>
      </c>
      <c r="K3">
        <v>609</v>
      </c>
      <c r="L3">
        <v>125</v>
      </c>
    </row>
    <row r="4" spans="2:12" x14ac:dyDescent="0.45">
      <c r="B4" s="1">
        <v>44189</v>
      </c>
      <c r="C4">
        <v>102160</v>
      </c>
      <c r="D4">
        <v>532</v>
      </c>
      <c r="E4">
        <v>902</v>
      </c>
      <c r="F4">
        <v>5</v>
      </c>
      <c r="G4">
        <v>17903</v>
      </c>
      <c r="H4">
        <v>1.5973340590022301E-2</v>
      </c>
      <c r="I4">
        <v>1.6841211705617198E-2</v>
      </c>
      <c r="J4">
        <v>8.9079381382211695E-3</v>
      </c>
      <c r="K4">
        <v>603</v>
      </c>
      <c r="L4">
        <v>104</v>
      </c>
    </row>
    <row r="5" spans="2:12" x14ac:dyDescent="0.45">
      <c r="B5" s="1">
        <v>44190</v>
      </c>
      <c r="C5">
        <v>102160</v>
      </c>
      <c r="D5">
        <v>532</v>
      </c>
      <c r="E5">
        <v>0</v>
      </c>
      <c r="F5">
        <v>0</v>
      </c>
      <c r="G5">
        <v>16968</v>
      </c>
      <c r="H5">
        <v>1.5139118758392399E-2</v>
      </c>
      <c r="I5">
        <v>1.65681936516292E-2</v>
      </c>
      <c r="J5">
        <v>0</v>
      </c>
      <c r="K5">
        <v>611</v>
      </c>
      <c r="L5">
        <v>113</v>
      </c>
    </row>
    <row r="6" spans="2:12" x14ac:dyDescent="0.45">
      <c r="B6" s="1">
        <v>44191</v>
      </c>
      <c r="C6">
        <v>103313</v>
      </c>
      <c r="D6">
        <v>533</v>
      </c>
      <c r="E6">
        <v>1153</v>
      </c>
      <c r="F6">
        <v>1</v>
      </c>
      <c r="G6">
        <v>16869</v>
      </c>
      <c r="H6">
        <v>1.5050789387984501E-2</v>
      </c>
      <c r="I6">
        <v>1.6267261987079399E-2</v>
      </c>
      <c r="J6">
        <v>1.1286217697729001E-2</v>
      </c>
      <c r="K6">
        <v>605</v>
      </c>
      <c r="L6">
        <v>57</v>
      </c>
    </row>
    <row r="7" spans="2:12" x14ac:dyDescent="0.45">
      <c r="B7" s="1">
        <v>44192</v>
      </c>
      <c r="C7">
        <v>103615</v>
      </c>
      <c r="D7">
        <v>535</v>
      </c>
      <c r="E7">
        <v>302</v>
      </c>
      <c r="F7">
        <v>2</v>
      </c>
      <c r="G7">
        <v>16180</v>
      </c>
      <c r="H7">
        <v>1.44360526585802E-2</v>
      </c>
      <c r="I7">
        <v>1.5870735765811099E-2</v>
      </c>
      <c r="J7">
        <v>2.9231558467956598E-3</v>
      </c>
      <c r="K7">
        <v>592</v>
      </c>
      <c r="L7">
        <v>74</v>
      </c>
    </row>
    <row r="8" spans="2:12" x14ac:dyDescent="0.45">
      <c r="B8" s="1">
        <v>44193</v>
      </c>
      <c r="C8">
        <v>104167</v>
      </c>
      <c r="D8">
        <v>536</v>
      </c>
      <c r="E8">
        <v>552</v>
      </c>
      <c r="F8">
        <v>1</v>
      </c>
      <c r="G8">
        <v>15878</v>
      </c>
      <c r="H8">
        <v>1.4166603468043E-2</v>
      </c>
      <c r="I8">
        <v>1.5443364367574999E-2</v>
      </c>
      <c r="J8">
        <v>5.3274139844617001E-3</v>
      </c>
      <c r="K8">
        <v>588</v>
      </c>
      <c r="L8">
        <v>107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1E66-17D2-4828-BF9D-A9FA6502D244}">
  <sheetPr codeName="Sheet2">
    <pageSetUpPr fitToPage="1"/>
  </sheetPr>
  <dimension ref="A1:I43"/>
  <sheetViews>
    <sheetView showGridLines="0" zoomScale="115" zoomScaleNormal="115" zoomScaleSheetLayoutView="85" zoomScalePageLayoutView="85" workbookViewId="0">
      <selection activeCell="E10" sqref="E10"/>
    </sheetView>
  </sheetViews>
  <sheetFormatPr defaultRowHeight="14.25" x14ac:dyDescent="0.45"/>
  <cols>
    <col min="1" max="1" width="19.73046875" customWidth="1"/>
    <col min="2" max="5" width="15.73046875" customWidth="1"/>
    <col min="6" max="6" width="16.796875" customWidth="1"/>
    <col min="7" max="7" width="15.73046875" customWidth="1"/>
    <col min="8" max="8" width="19.06640625" customWidth="1"/>
    <col min="9" max="9" width="20.265625" customWidth="1"/>
  </cols>
  <sheetData>
    <row r="1" spans="1:9" ht="15.75" x14ac:dyDescent="0.45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16</v>
      </c>
      <c r="I1" s="5" t="s">
        <v>15</v>
      </c>
    </row>
    <row r="2" spans="1:9" x14ac:dyDescent="0.45">
      <c r="A2" s="13">
        <f>data!B2</f>
        <v>44187</v>
      </c>
      <c r="B2" s="14">
        <f>data!C2</f>
        <v>100482</v>
      </c>
      <c r="C2" s="14">
        <f>data!D2</f>
        <v>516</v>
      </c>
      <c r="D2" s="14">
        <f>data!E2</f>
        <v>608</v>
      </c>
      <c r="E2" s="14">
        <f>data!F2</f>
        <v>4</v>
      </c>
      <c r="F2" s="14">
        <f>data!G2</f>
        <v>19036</v>
      </c>
      <c r="G2" s="4">
        <f>data!H2</f>
        <v>1.6984221162468002E-2</v>
      </c>
      <c r="H2" s="4">
        <f>data!I2</f>
        <v>1.7338813238189098E-2</v>
      </c>
      <c r="I2" s="4">
        <f>data!J2</f>
        <v>6.08767046478563E-3</v>
      </c>
    </row>
    <row r="3" spans="1:9" x14ac:dyDescent="0.45">
      <c r="A3" s="13">
        <f>data!B3</f>
        <v>44188</v>
      </c>
      <c r="B3" s="14">
        <f>data!C3</f>
        <v>101258</v>
      </c>
      <c r="C3" s="14">
        <f>data!D3</f>
        <v>527</v>
      </c>
      <c r="D3" s="14">
        <f>data!E3</f>
        <v>776</v>
      </c>
      <c r="E3" s="14">
        <f>data!F3</f>
        <v>11</v>
      </c>
      <c r="F3" s="14">
        <f>data!G3</f>
        <v>18329</v>
      </c>
      <c r="G3" s="4">
        <f>data!H3</f>
        <v>1.6353424547534998E-2</v>
      </c>
      <c r="H3" s="4">
        <f>data!I3</f>
        <v>1.71769397888125E-2</v>
      </c>
      <c r="I3" s="4">
        <f>data!J3</f>
        <v>7.7227762186262202E-3</v>
      </c>
    </row>
    <row r="4" spans="1:9" x14ac:dyDescent="0.45">
      <c r="A4" s="13">
        <f>data!B4</f>
        <v>44189</v>
      </c>
      <c r="B4" s="14">
        <f>data!C4</f>
        <v>102160</v>
      </c>
      <c r="C4" s="14">
        <f>data!D4</f>
        <v>532</v>
      </c>
      <c r="D4" s="14">
        <f>data!E4</f>
        <v>902</v>
      </c>
      <c r="E4" s="14">
        <f>data!F4</f>
        <v>5</v>
      </c>
      <c r="F4" s="14">
        <f>data!G4</f>
        <v>17903</v>
      </c>
      <c r="G4" s="4">
        <f>data!H4</f>
        <v>1.5973340590022301E-2</v>
      </c>
      <c r="H4" s="4">
        <f>data!I4</f>
        <v>1.6841211705617198E-2</v>
      </c>
      <c r="I4" s="4">
        <f>data!J4</f>
        <v>8.9079381382211695E-3</v>
      </c>
    </row>
    <row r="5" spans="1:9" x14ac:dyDescent="0.45">
      <c r="A5" s="13">
        <f>data!B5</f>
        <v>44190</v>
      </c>
      <c r="B5" s="14">
        <f>data!C5</f>
        <v>102160</v>
      </c>
      <c r="C5" s="14">
        <f>data!D5</f>
        <v>532</v>
      </c>
      <c r="D5" s="14">
        <f>data!E5</f>
        <v>0</v>
      </c>
      <c r="E5" s="14">
        <f>data!F5</f>
        <v>0</v>
      </c>
      <c r="F5" s="14">
        <f>data!G5</f>
        <v>16968</v>
      </c>
      <c r="G5" s="4">
        <f>data!H5</f>
        <v>1.5139118758392399E-2</v>
      </c>
      <c r="H5" s="4">
        <f>data!I5</f>
        <v>1.65681936516292E-2</v>
      </c>
      <c r="I5" s="4">
        <f>data!J5</f>
        <v>0</v>
      </c>
    </row>
    <row r="6" spans="1:9" x14ac:dyDescent="0.45">
      <c r="A6" s="13">
        <f>data!B6</f>
        <v>44191</v>
      </c>
      <c r="B6" s="14">
        <f>data!C6</f>
        <v>103313</v>
      </c>
      <c r="C6" s="14">
        <f>data!D6</f>
        <v>533</v>
      </c>
      <c r="D6" s="14">
        <f>data!E6</f>
        <v>1153</v>
      </c>
      <c r="E6" s="14">
        <f>data!F6</f>
        <v>1</v>
      </c>
      <c r="F6" s="14">
        <f>data!G6</f>
        <v>16869</v>
      </c>
      <c r="G6" s="4">
        <f>data!H6</f>
        <v>1.5050789387984501E-2</v>
      </c>
      <c r="H6" s="4">
        <f>data!I6</f>
        <v>1.6267261987079399E-2</v>
      </c>
      <c r="I6" s="4">
        <f>data!J6</f>
        <v>1.1286217697729001E-2</v>
      </c>
    </row>
    <row r="7" spans="1:9" x14ac:dyDescent="0.45">
      <c r="A7" s="13">
        <f>data!B7</f>
        <v>44192</v>
      </c>
      <c r="B7" s="14">
        <f>data!C7</f>
        <v>103615</v>
      </c>
      <c r="C7" s="14">
        <f>data!D7</f>
        <v>535</v>
      </c>
      <c r="D7" s="14">
        <f>data!E7</f>
        <v>302</v>
      </c>
      <c r="E7" s="14">
        <f>data!F7</f>
        <v>2</v>
      </c>
      <c r="F7" s="14">
        <f>data!G7</f>
        <v>16180</v>
      </c>
      <c r="G7" s="4">
        <f>data!H7</f>
        <v>1.44360526585802E-2</v>
      </c>
      <c r="H7" s="4">
        <f>data!I7</f>
        <v>1.5870735765811099E-2</v>
      </c>
      <c r="I7" s="4">
        <f>data!J7</f>
        <v>2.9231558467956598E-3</v>
      </c>
    </row>
    <row r="8" spans="1:9" x14ac:dyDescent="0.45">
      <c r="A8" s="13">
        <f>data!B8</f>
        <v>44193</v>
      </c>
      <c r="B8" s="14">
        <f>data!C8</f>
        <v>104167</v>
      </c>
      <c r="C8" s="14">
        <f>data!D8</f>
        <v>536</v>
      </c>
      <c r="D8" s="14">
        <f>data!E8</f>
        <v>552</v>
      </c>
      <c r="E8" s="14">
        <f>data!F8</f>
        <v>1</v>
      </c>
      <c r="F8" s="14">
        <f>data!G8</f>
        <v>15878</v>
      </c>
      <c r="G8" s="4">
        <f>data!H8</f>
        <v>1.4166603468043E-2</v>
      </c>
      <c r="H8" s="4">
        <f>data!I8</f>
        <v>1.5443364367574999E-2</v>
      </c>
      <c r="I8" s="4">
        <f>data!J8</f>
        <v>5.3274139844617001E-3</v>
      </c>
    </row>
    <row r="9" spans="1:9" x14ac:dyDescent="0.45">
      <c r="A9" s="2"/>
      <c r="B9" s="3"/>
      <c r="C9" s="3"/>
      <c r="D9" s="3"/>
      <c r="E9" s="3"/>
      <c r="F9" s="3"/>
      <c r="G9" s="4"/>
      <c r="H9" s="4"/>
      <c r="I9" s="4"/>
    </row>
    <row r="10" spans="1:9" ht="23.65" x14ac:dyDescent="0.45">
      <c r="A10" s="10" t="s">
        <v>17</v>
      </c>
      <c r="B10" s="3"/>
      <c r="C10" s="3"/>
      <c r="D10" s="3"/>
      <c r="E10" s="3"/>
      <c r="F10" s="3"/>
      <c r="G10" s="4"/>
      <c r="H10" s="4"/>
      <c r="I10" s="4"/>
    </row>
    <row r="11" spans="1:9" ht="15.75" x14ac:dyDescent="0.55000000000000004">
      <c r="A11" s="9" t="s">
        <v>9</v>
      </c>
      <c r="B11" s="7"/>
      <c r="C11" s="7"/>
      <c r="D11" s="9" t="s">
        <v>11</v>
      </c>
      <c r="E11" s="8"/>
      <c r="F11" s="8"/>
      <c r="G11" s="9" t="s">
        <v>13</v>
      </c>
      <c r="H11" s="7"/>
    </row>
    <row r="25" spans="1:6" s="6" customFormat="1" ht="15.75" x14ac:dyDescent="0.55000000000000004">
      <c r="A25" s="9" t="s">
        <v>15</v>
      </c>
      <c r="B25" s="7"/>
      <c r="C25" s="7"/>
      <c r="D25" s="9" t="s">
        <v>16</v>
      </c>
      <c r="E25" s="7"/>
      <c r="F25" s="7"/>
    </row>
    <row r="40" spans="1:2" ht="15.75" x14ac:dyDescent="0.45">
      <c r="A40" s="11" t="s">
        <v>13</v>
      </c>
      <c r="B40" s="11" t="s">
        <v>18</v>
      </c>
    </row>
    <row r="41" spans="1:2" ht="15.75" x14ac:dyDescent="0.45">
      <c r="A41" s="11" t="s">
        <v>14</v>
      </c>
      <c r="B41" s="11" t="s">
        <v>19</v>
      </c>
    </row>
    <row r="42" spans="1:2" ht="15.75" x14ac:dyDescent="0.45">
      <c r="A42" s="11" t="s">
        <v>15</v>
      </c>
      <c r="B42" s="11" t="s">
        <v>20</v>
      </c>
    </row>
    <row r="43" spans="1:2" ht="15.75" x14ac:dyDescent="0.45">
      <c r="A43" s="12" t="s">
        <v>22</v>
      </c>
    </row>
  </sheetData>
  <pageMargins left="0.25" right="0.25" top="0.75" bottom="0.75" header="0.3" footer="0.3"/>
  <pageSetup scale="78" orientation="landscape" r:id="rId1"/>
  <headerFooter>
    <oddHeader xml:space="preserve">&amp;L&amp;"Microsoft YaHei Light,Bold"&amp;20&amp;K04-023盐湖城新冠报告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Report">
                <anchor moveWithCells="1" sizeWithCells="1">
                  <from>
                    <xdr:col>10</xdr:col>
                    <xdr:colOff>133350</xdr:colOff>
                    <xdr:row>1</xdr:row>
                    <xdr:rowOff>166688</xdr:rowOff>
                  </from>
                  <to>
                    <xdr:col>12</xdr:col>
                    <xdr:colOff>509588</xdr:colOff>
                    <xdr:row>5</xdr:row>
                    <xdr:rowOff>128588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3D582-8217-45D4-8089-05EB4CFEB3CE}">
  <sheetPr codeName="Sheet3">
    <pageSetUpPr fitToPage="1"/>
  </sheetPr>
  <dimension ref="B1:AA51"/>
  <sheetViews>
    <sheetView showGridLines="0" tabSelected="1" topLeftCell="A2" zoomScale="85" zoomScaleNormal="85" zoomScaleSheetLayoutView="85" zoomScalePageLayoutView="85" workbookViewId="0">
      <selection activeCell="F35" sqref="F35"/>
    </sheetView>
  </sheetViews>
  <sheetFormatPr defaultRowHeight="14.25" x14ac:dyDescent="0.45"/>
  <cols>
    <col min="1" max="1" width="8.46484375" customWidth="1"/>
    <col min="2" max="2" width="19.46484375" bestFit="1" customWidth="1"/>
    <col min="3" max="9" width="13.796875" bestFit="1" customWidth="1"/>
    <col min="10" max="10" width="10.53125" customWidth="1"/>
  </cols>
  <sheetData>
    <row r="1" spans="2:24" ht="15.75" hidden="1" x14ac:dyDescent="0.45">
      <c r="B1" s="17" t="s">
        <v>23</v>
      </c>
      <c r="C1" s="18" t="s">
        <v>24</v>
      </c>
      <c r="D1" s="18" t="s">
        <v>25</v>
      </c>
      <c r="E1" s="18" t="s">
        <v>26</v>
      </c>
      <c r="F1" s="18" t="s">
        <v>27</v>
      </c>
      <c r="G1" s="18" t="s">
        <v>28</v>
      </c>
      <c r="H1" s="18" t="s">
        <v>29</v>
      </c>
      <c r="I1" s="18" t="s">
        <v>30</v>
      </c>
      <c r="J1" s="5"/>
    </row>
    <row r="2" spans="2:24" ht="15" x14ac:dyDescent="0.45">
      <c r="B2" s="27" t="s">
        <v>8</v>
      </c>
      <c r="C2" s="26">
        <f>data!B2</f>
        <v>44187</v>
      </c>
      <c r="D2" s="26">
        <f>data!B3</f>
        <v>44188</v>
      </c>
      <c r="E2" s="26">
        <f>data!B4</f>
        <v>44189</v>
      </c>
      <c r="F2" s="26">
        <f>data!B5</f>
        <v>44190</v>
      </c>
      <c r="G2" s="26">
        <f>data!B6</f>
        <v>44191</v>
      </c>
      <c r="H2" s="26">
        <f>data!B7</f>
        <v>44192</v>
      </c>
      <c r="I2" s="26">
        <f>data!B8</f>
        <v>44193</v>
      </c>
      <c r="J2" s="4"/>
    </row>
    <row r="3" spans="2:24" ht="15.75" x14ac:dyDescent="0.45">
      <c r="B3" s="27" t="s">
        <v>9</v>
      </c>
      <c r="C3" s="28">
        <f>VLOOKUP(C$2,data!$B$2:$J$8,2,FALSE)</f>
        <v>100482</v>
      </c>
      <c r="D3" s="28">
        <f>VLOOKUP(D$2,data!$B$2:$J$8,2,FALSE)</f>
        <v>101258</v>
      </c>
      <c r="E3" s="28">
        <f>VLOOKUP(E$2,data!$B$2:$J$8,2,FALSE)</f>
        <v>102160</v>
      </c>
      <c r="F3" s="28">
        <f>VLOOKUP(F$2,data!$B$2:$J$8,2,FALSE)</f>
        <v>102160</v>
      </c>
      <c r="G3" s="28">
        <f>VLOOKUP(G$2,data!$B$2:$J$8,2,FALSE)</f>
        <v>103313</v>
      </c>
      <c r="H3" s="28">
        <f>VLOOKUP(H$2,data!$B$2:$J$8,2,FALSE)</f>
        <v>103615</v>
      </c>
      <c r="I3" s="28">
        <f>VLOOKUP(I$2,data!$B$2:$J$8,2,FALSE)</f>
        <v>104167</v>
      </c>
      <c r="J3" s="5"/>
    </row>
    <row r="4" spans="2:24" ht="15" x14ac:dyDescent="0.45">
      <c r="B4" s="27" t="s">
        <v>10</v>
      </c>
      <c r="C4" s="28">
        <f>VLOOKUP(C$2,data!$B$2:$J$8,3,FALSE)</f>
        <v>516</v>
      </c>
      <c r="D4" s="28">
        <f>VLOOKUP(D$2,data!$B$2:$J$8,3,FALSE)</f>
        <v>527</v>
      </c>
      <c r="E4" s="28">
        <f>VLOOKUP(E$2,data!$B$2:$J$8,3,FALSE)</f>
        <v>532</v>
      </c>
      <c r="F4" s="28">
        <f>VLOOKUP(F$2,data!$B$2:$J$8,3,FALSE)</f>
        <v>532</v>
      </c>
      <c r="G4" s="28">
        <f>VLOOKUP(G$2,data!$B$2:$J$8,3,FALSE)</f>
        <v>533</v>
      </c>
      <c r="H4" s="28">
        <f>VLOOKUP(H$2,data!$B$2:$J$8,3,FALSE)</f>
        <v>535</v>
      </c>
      <c r="I4" s="28">
        <f>VLOOKUP(I$2,data!$B$2:$J$8,3,FALSE)</f>
        <v>536</v>
      </c>
      <c r="J4" s="4"/>
    </row>
    <row r="5" spans="2:24" ht="15" x14ac:dyDescent="0.45">
      <c r="B5" s="27" t="s">
        <v>11</v>
      </c>
      <c r="C5" s="28">
        <f>VLOOKUP(C$2,data!$B$2:$J$8,4,FALSE)</f>
        <v>608</v>
      </c>
      <c r="D5" s="28">
        <f>VLOOKUP(D$2,data!$B$2:$J$8,4,FALSE)</f>
        <v>776</v>
      </c>
      <c r="E5" s="28">
        <f>VLOOKUP(E$2,data!$B$2:$J$8,4,FALSE)</f>
        <v>902</v>
      </c>
      <c r="F5" s="28">
        <f>VLOOKUP(F$2,data!$B$2:$J$8,4,FALSE)</f>
        <v>0</v>
      </c>
      <c r="G5" s="28">
        <f>VLOOKUP(G$2,data!$B$2:$J$8,4,FALSE)</f>
        <v>1153</v>
      </c>
      <c r="H5" s="28">
        <f>VLOOKUP(H$2,data!$B$2:$J$8,4,FALSE)</f>
        <v>302</v>
      </c>
      <c r="I5" s="28">
        <f>VLOOKUP(I$2,data!$B$2:$J$8,4,FALSE)</f>
        <v>552</v>
      </c>
      <c r="J5" s="4"/>
    </row>
    <row r="6" spans="2:24" ht="15" x14ac:dyDescent="0.45">
      <c r="B6" s="27" t="s">
        <v>12</v>
      </c>
      <c r="C6" s="28">
        <f>VLOOKUP(C$2,data!$B$2:$J$8,5,FALSE)</f>
        <v>4</v>
      </c>
      <c r="D6" s="28">
        <f>VLOOKUP(D$2,data!$B$2:$J$8,5,FALSE)</f>
        <v>11</v>
      </c>
      <c r="E6" s="28">
        <f>VLOOKUP(E$2,data!$B$2:$J$8,5,FALSE)</f>
        <v>5</v>
      </c>
      <c r="F6" s="28">
        <f>VLOOKUP(F$2,data!$B$2:$J$8,5,FALSE)</f>
        <v>0</v>
      </c>
      <c r="G6" s="28">
        <f>VLOOKUP(G$2,data!$B$2:$J$8,5,FALSE)</f>
        <v>1</v>
      </c>
      <c r="H6" s="28">
        <f>VLOOKUP(H$2,data!$B$2:$J$8,5,FALSE)</f>
        <v>2</v>
      </c>
      <c r="I6" s="28">
        <f>VLOOKUP(I$2,data!$B$2:$J$8,5,FALSE)</f>
        <v>1</v>
      </c>
      <c r="J6" s="4"/>
    </row>
    <row r="7" spans="2:24" ht="15" x14ac:dyDescent="0.45">
      <c r="B7" s="27" t="s">
        <v>13</v>
      </c>
      <c r="C7" s="28">
        <f>VLOOKUP(C$2,data!$B$2:$J$8,6,FALSE)</f>
        <v>19036</v>
      </c>
      <c r="D7" s="28">
        <f>VLOOKUP(D$2,data!$B$2:$J$8,6,FALSE)</f>
        <v>18329</v>
      </c>
      <c r="E7" s="28">
        <f>VLOOKUP(E$2,data!$B$2:$J$8,6,FALSE)</f>
        <v>17903</v>
      </c>
      <c r="F7" s="28">
        <f>VLOOKUP(F$2,data!$B$2:$J$8,6,FALSE)</f>
        <v>16968</v>
      </c>
      <c r="G7" s="28">
        <f>VLOOKUP(G$2,data!$B$2:$J$8,6,FALSE)</f>
        <v>16869</v>
      </c>
      <c r="H7" s="28">
        <f>VLOOKUP(H$2,data!$B$2:$J$8,6,FALSE)</f>
        <v>16180</v>
      </c>
      <c r="I7" s="28">
        <f>VLOOKUP(I$2,data!$B$2:$J$8,6,FALSE)</f>
        <v>15878</v>
      </c>
      <c r="J7" s="4"/>
    </row>
    <row r="8" spans="2:24" ht="15" x14ac:dyDescent="0.45">
      <c r="B8" s="27" t="s">
        <v>43</v>
      </c>
      <c r="C8" s="29">
        <f>C4/C3</f>
        <v>5.1352481041380543E-3</v>
      </c>
      <c r="D8" s="29">
        <f t="shared" ref="D8:I8" si="0">D4/D3</f>
        <v>5.2045270497145905E-3</v>
      </c>
      <c r="E8" s="29">
        <f t="shared" si="0"/>
        <v>5.2075176194205167E-3</v>
      </c>
      <c r="F8" s="29">
        <f t="shared" si="0"/>
        <v>5.2075176194205167E-3</v>
      </c>
      <c r="G8" s="29">
        <f t="shared" si="0"/>
        <v>5.1590796898744592E-3</v>
      </c>
      <c r="H8" s="29">
        <f t="shared" si="0"/>
        <v>5.1633450755199537E-3</v>
      </c>
      <c r="I8" s="29">
        <f t="shared" si="0"/>
        <v>5.1455835341326908E-3</v>
      </c>
      <c r="J8" s="4"/>
    </row>
    <row r="9" spans="2:24" ht="15" x14ac:dyDescent="0.45">
      <c r="B9" s="27" t="s">
        <v>16</v>
      </c>
      <c r="C9" s="29">
        <f>VLOOKUP(C$2,data!$B$2:$J$8,8,FALSE)</f>
        <v>1.7338813238189098E-2</v>
      </c>
      <c r="D9" s="29">
        <f>VLOOKUP(D$2,data!$B$2:$J$8,8,FALSE)</f>
        <v>1.71769397888125E-2</v>
      </c>
      <c r="E9" s="29">
        <f>VLOOKUP(E$2,data!$B$2:$J$8,8,FALSE)</f>
        <v>1.6841211705617198E-2</v>
      </c>
      <c r="F9" s="29">
        <f>VLOOKUP(F$2,data!$B$2:$J$8,8,FALSE)</f>
        <v>1.65681936516292E-2</v>
      </c>
      <c r="G9" s="29">
        <f>VLOOKUP(G$2,data!$B$2:$J$8,8,FALSE)</f>
        <v>1.6267261987079399E-2</v>
      </c>
      <c r="H9" s="29">
        <f>VLOOKUP(H$2,data!$B$2:$J$8,8,FALSE)</f>
        <v>1.5870735765811099E-2</v>
      </c>
      <c r="I9" s="29">
        <f>VLOOKUP(I$2,data!$B$2:$J$8,8,FALSE)</f>
        <v>1.5443364367574999E-2</v>
      </c>
      <c r="J9" s="4"/>
    </row>
    <row r="10" spans="2:24" ht="15" x14ac:dyDescent="0.45">
      <c r="B10" s="27" t="s">
        <v>15</v>
      </c>
      <c r="C10" s="29">
        <f>VLOOKUP(C$2,data!$B$2:$J$8,9,FALSE)</f>
        <v>6.08767046478563E-3</v>
      </c>
      <c r="D10" s="29">
        <f>VLOOKUP(D$2,data!$B$2:$J$8,9,FALSE)</f>
        <v>7.7227762186262202E-3</v>
      </c>
      <c r="E10" s="29">
        <f>VLOOKUP(E$2,data!$B$2:$J$8,9,FALSE)</f>
        <v>8.9079381382211695E-3</v>
      </c>
      <c r="F10" s="29">
        <f>VLOOKUP(F$2,data!$B$2:$J$8,9,FALSE)</f>
        <v>0</v>
      </c>
      <c r="G10" s="29">
        <f>VLOOKUP(G$2,data!$B$2:$J$8,9,FALSE)</f>
        <v>1.1286217697729001E-2</v>
      </c>
      <c r="H10" s="29">
        <f>VLOOKUP(H$2,data!$B$2:$J$8,9,FALSE)</f>
        <v>2.9231558467956598E-3</v>
      </c>
      <c r="I10" s="29">
        <f>VLOOKUP(I$2,data!$B$2:$J$8,9,FALSE)</f>
        <v>5.3274139844617001E-3</v>
      </c>
      <c r="J10" s="4"/>
    </row>
    <row r="11" spans="2:24" ht="15" x14ac:dyDescent="0.45">
      <c r="B11" s="30" t="s">
        <v>36</v>
      </c>
      <c r="C11" s="28">
        <f>VLOOKUP(C$2,data!$B$2:$M$8,10,FALSE)</f>
        <v>584</v>
      </c>
      <c r="D11" s="28">
        <f>VLOOKUP(D$2,data!$B$2:$M$8,10,FALSE)</f>
        <v>609</v>
      </c>
      <c r="E11" s="28">
        <f>VLOOKUP(E$2,data!$B$2:$M$8,10,FALSE)</f>
        <v>603</v>
      </c>
      <c r="F11" s="28">
        <f>VLOOKUP(F$2,data!$B$2:$M$8,10,FALSE)</f>
        <v>611</v>
      </c>
      <c r="G11" s="28">
        <f>VLOOKUP(G$2,data!$B$2:$M$8,10,FALSE)</f>
        <v>605</v>
      </c>
      <c r="H11" s="28">
        <f>VLOOKUP(H$2,data!$B$2:$M$8,10,FALSE)</f>
        <v>592</v>
      </c>
      <c r="I11" s="28">
        <f>VLOOKUP(I$2,data!$B$2:$M$8,10,FALSE)</f>
        <v>588</v>
      </c>
      <c r="J11" s="4"/>
    </row>
    <row r="12" spans="2:24" ht="15" x14ac:dyDescent="0.45">
      <c r="B12" s="30" t="s">
        <v>37</v>
      </c>
      <c r="C12" s="28">
        <f>VLOOKUP(C$2,data!$B$2:$M$8,11,FALSE)</f>
        <v>144</v>
      </c>
      <c r="D12" s="28">
        <f>VLOOKUP(D$2,data!$B$2:$M$8,11,FALSE)</f>
        <v>125</v>
      </c>
      <c r="E12" s="28">
        <f>VLOOKUP(E$2,data!$B$2:$M$8,11,FALSE)</f>
        <v>104</v>
      </c>
      <c r="F12" s="28">
        <f>VLOOKUP(F$2,data!$B$2:$M$8,11,FALSE)</f>
        <v>113</v>
      </c>
      <c r="G12" s="28">
        <f>VLOOKUP(G$2,data!$B$2:$M$8,11,FALSE)</f>
        <v>57</v>
      </c>
      <c r="H12" s="28">
        <f>VLOOKUP(H$2,data!$B$2:$M$8,11,FALSE)</f>
        <v>74</v>
      </c>
      <c r="I12" s="28">
        <f>VLOOKUP(I$2,data!$B$2:$M$8,11,FALSE)</f>
        <v>107</v>
      </c>
      <c r="J12" s="4"/>
    </row>
    <row r="13" spans="2:24" x14ac:dyDescent="0.45">
      <c r="B13" s="13"/>
      <c r="C13" s="15"/>
      <c r="D13" s="15"/>
      <c r="E13" s="15"/>
      <c r="F13" s="15"/>
      <c r="G13" s="15"/>
      <c r="H13" s="16"/>
      <c r="I13" s="16"/>
      <c r="J13" s="16"/>
    </row>
    <row r="14" spans="2:24" ht="22.9" x14ac:dyDescent="0.5">
      <c r="B14" s="19" t="s">
        <v>17</v>
      </c>
      <c r="C14" s="20"/>
      <c r="D14" s="20"/>
      <c r="E14" s="20"/>
      <c r="F14" s="20"/>
      <c r="G14" s="3"/>
      <c r="H14" s="4"/>
      <c r="I14" s="4"/>
      <c r="J14" s="16"/>
    </row>
    <row r="15" spans="2:24" ht="15.75" x14ac:dyDescent="0.55000000000000004">
      <c r="B15" s="21" t="s">
        <v>9</v>
      </c>
      <c r="C15" s="22"/>
      <c r="D15" s="22"/>
      <c r="E15" s="23"/>
      <c r="F15" s="21" t="s">
        <v>15</v>
      </c>
      <c r="G15" s="8"/>
      <c r="I15" s="7"/>
      <c r="J15" s="16"/>
    </row>
    <row r="16" spans="2:24" ht="15" x14ac:dyDescent="0.5">
      <c r="B16" s="24"/>
      <c r="C16" s="24"/>
      <c r="D16" s="24"/>
      <c r="E16" s="24"/>
      <c r="F16" s="24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2:27" ht="15" x14ac:dyDescent="0.5">
      <c r="B17" s="24"/>
      <c r="C17" s="24"/>
      <c r="D17" s="24"/>
      <c r="E17" s="24"/>
      <c r="F17" s="24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2:27" ht="15" x14ac:dyDescent="0.5">
      <c r="B18" s="24"/>
      <c r="C18" s="24"/>
      <c r="D18" s="24"/>
      <c r="E18" s="24"/>
      <c r="F18" s="24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2:27" ht="15" x14ac:dyDescent="0.5">
      <c r="B19" s="24"/>
      <c r="C19" s="24"/>
      <c r="D19" s="24"/>
      <c r="E19" s="24"/>
      <c r="F19" s="24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2:27" ht="15" x14ac:dyDescent="0.5">
      <c r="B20" s="24"/>
      <c r="C20" s="24"/>
      <c r="D20" s="24"/>
      <c r="E20" s="24"/>
      <c r="F20" s="24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2:27" ht="15" x14ac:dyDescent="0.5">
      <c r="B21" s="24"/>
      <c r="C21" s="24"/>
      <c r="D21" s="24"/>
      <c r="E21" s="24"/>
      <c r="F21" s="24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2:27" ht="15" x14ac:dyDescent="0.5">
      <c r="B22" s="24"/>
      <c r="C22" s="24"/>
      <c r="D22" s="24"/>
      <c r="E22" s="24"/>
      <c r="F22" s="24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2:27" ht="15" x14ac:dyDescent="0.5">
      <c r="B23" s="24"/>
      <c r="C23" s="24"/>
      <c r="D23" s="24"/>
      <c r="E23" s="24"/>
      <c r="F23" s="24"/>
      <c r="G23" s="13"/>
      <c r="H23" s="13"/>
      <c r="I23" s="13"/>
      <c r="J23" s="13"/>
      <c r="K23" s="13"/>
      <c r="L23" s="13"/>
      <c r="M23" s="13"/>
      <c r="N23" s="13"/>
      <c r="O23" s="13"/>
      <c r="P23" s="13"/>
      <c r="AA23" s="4"/>
    </row>
    <row r="24" spans="2:27" ht="15" x14ac:dyDescent="0.5">
      <c r="B24" s="24"/>
      <c r="C24" s="24"/>
      <c r="D24" s="24"/>
      <c r="E24" s="24"/>
      <c r="F24" s="24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2:27" ht="15" x14ac:dyDescent="0.5">
      <c r="B25" s="24"/>
      <c r="C25" s="24"/>
      <c r="D25" s="24"/>
      <c r="E25" s="24"/>
      <c r="F25" s="24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2:27" ht="15" x14ac:dyDescent="0.5">
      <c r="B26" s="24"/>
      <c r="C26" s="24"/>
      <c r="D26" s="24"/>
      <c r="E26" s="24"/>
      <c r="F26" s="24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2:27" ht="15" x14ac:dyDescent="0.5">
      <c r="B27" s="24"/>
      <c r="C27" s="24"/>
      <c r="D27" s="24"/>
      <c r="E27" s="24"/>
      <c r="F27" s="24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2:27" ht="15" x14ac:dyDescent="0.5">
      <c r="B28" s="24"/>
      <c r="C28" s="24"/>
      <c r="D28" s="24"/>
      <c r="E28" s="24"/>
      <c r="F28" s="24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2:27" ht="15" x14ac:dyDescent="0.5">
      <c r="B29" s="21" t="s">
        <v>11</v>
      </c>
      <c r="C29" s="25"/>
      <c r="D29" s="25"/>
      <c r="E29" s="25"/>
      <c r="F29" s="21" t="s">
        <v>16</v>
      </c>
    </row>
    <row r="30" spans="2:27" ht="15" x14ac:dyDescent="0.5">
      <c r="B30" s="24"/>
      <c r="C30" s="24"/>
      <c r="D30" s="24"/>
      <c r="E30" s="24"/>
      <c r="F30" s="24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2:27" ht="15" x14ac:dyDescent="0.5">
      <c r="B31" s="24"/>
      <c r="C31" s="24"/>
      <c r="D31" s="24"/>
      <c r="E31" s="24"/>
      <c r="F31" s="24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2:27" ht="15" x14ac:dyDescent="0.5">
      <c r="B32" s="24"/>
      <c r="C32" s="24"/>
      <c r="D32" s="24"/>
      <c r="E32" s="24"/>
      <c r="F32" s="24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2:18" ht="15" x14ac:dyDescent="0.5">
      <c r="B33" s="24"/>
      <c r="C33" s="24"/>
      <c r="D33" s="24"/>
      <c r="E33" s="24"/>
      <c r="F33" s="24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2:18" ht="15" x14ac:dyDescent="0.5">
      <c r="B34" s="24"/>
      <c r="C34" s="24"/>
      <c r="D34" s="24"/>
      <c r="E34" s="24"/>
      <c r="F34" s="24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2:18" ht="15" x14ac:dyDescent="0.5">
      <c r="B35" s="24"/>
      <c r="C35" s="24"/>
      <c r="D35" s="24"/>
      <c r="E35" s="24"/>
      <c r="F35" s="24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2:18" ht="15" x14ac:dyDescent="0.5">
      <c r="B36" s="24"/>
      <c r="C36" s="24"/>
      <c r="D36" s="24"/>
      <c r="E36" s="24"/>
      <c r="F36" s="24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2:18" ht="15" x14ac:dyDescent="0.5">
      <c r="B37" s="24"/>
      <c r="C37" s="24"/>
      <c r="D37" s="24"/>
      <c r="E37" s="24"/>
      <c r="F37" s="24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2:18" ht="15" x14ac:dyDescent="0.5">
      <c r="B38" s="24"/>
      <c r="C38" s="24"/>
      <c r="D38" s="24"/>
      <c r="E38" s="24"/>
      <c r="F38" s="24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2:18" ht="15" x14ac:dyDescent="0.5">
      <c r="B39" s="23"/>
      <c r="C39" s="23"/>
      <c r="D39" s="23"/>
      <c r="E39" s="23"/>
      <c r="F39" s="23"/>
    </row>
    <row r="40" spans="2:18" ht="15" x14ac:dyDescent="0.5">
      <c r="B40" s="23"/>
      <c r="C40" s="23"/>
      <c r="D40" s="23"/>
      <c r="E40" s="23"/>
      <c r="F40" s="23"/>
    </row>
    <row r="41" spans="2:18" ht="15" x14ac:dyDescent="0.5">
      <c r="B41" s="23"/>
      <c r="C41" s="23"/>
      <c r="D41" s="23"/>
      <c r="E41" s="23"/>
      <c r="F41" s="23"/>
    </row>
    <row r="42" spans="2:18" ht="15" x14ac:dyDescent="0.5">
      <c r="B42" s="23"/>
      <c r="C42" s="23"/>
      <c r="D42" s="23"/>
      <c r="E42" s="23"/>
      <c r="F42" s="23"/>
    </row>
    <row r="43" spans="2:18" ht="15" x14ac:dyDescent="0.5">
      <c r="B43" s="21" t="s">
        <v>35</v>
      </c>
      <c r="C43" s="23"/>
      <c r="D43" s="23"/>
      <c r="E43" s="23"/>
      <c r="F43" s="23"/>
    </row>
    <row r="45" spans="2:18" ht="15.75" x14ac:dyDescent="0.45">
      <c r="F45" s="31" t="s">
        <v>13</v>
      </c>
      <c r="G45" s="31" t="s">
        <v>42</v>
      </c>
    </row>
    <row r="46" spans="2:18" ht="15.75" x14ac:dyDescent="0.45">
      <c r="F46" s="32"/>
      <c r="G46" s="31" t="s">
        <v>33</v>
      </c>
    </row>
    <row r="47" spans="2:18" ht="15.75" x14ac:dyDescent="0.45">
      <c r="F47" s="32"/>
      <c r="G47" s="31" t="s">
        <v>41</v>
      </c>
    </row>
    <row r="48" spans="2:18" ht="15.75" x14ac:dyDescent="0.45">
      <c r="F48" s="31" t="s">
        <v>14</v>
      </c>
      <c r="G48" s="31" t="s">
        <v>34</v>
      </c>
    </row>
    <row r="49" spans="6:7" ht="15.75" x14ac:dyDescent="0.45">
      <c r="F49" s="31" t="s">
        <v>38</v>
      </c>
      <c r="G49" s="33" t="s">
        <v>39</v>
      </c>
    </row>
    <row r="50" spans="6:7" ht="15.75" x14ac:dyDescent="0.45">
      <c r="G50" s="33" t="s">
        <v>40</v>
      </c>
    </row>
    <row r="51" spans="6:7" ht="15.75" x14ac:dyDescent="0.45">
      <c r="F51" s="33" t="s">
        <v>22</v>
      </c>
      <c r="G51" s="32"/>
    </row>
  </sheetData>
  <pageMargins left="0.25" right="0.25" top="0.75" bottom="0.75" header="0.3" footer="0.3"/>
  <pageSetup scale="80" orientation="portrait" r:id="rId1"/>
  <headerFooter>
    <oddHeader>&amp;C&amp;"Microsoft YaHei,Regular"&amp;18&amp;K04-019盐湖县新冠报告&amp;"-,Regular"&amp;11
&amp;D</oddHead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report</vt:lpstr>
      <vt:lpstr>report_v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 Lu</dc:creator>
  <cp:lastModifiedBy>Yi Lu</cp:lastModifiedBy>
  <cp:lastPrinted>2020-12-30T11:20:07Z</cp:lastPrinted>
  <dcterms:created xsi:type="dcterms:W3CDTF">2020-11-19T22:39:44Z</dcterms:created>
  <dcterms:modified xsi:type="dcterms:W3CDTF">2020-12-30T11:20:36Z</dcterms:modified>
</cp:coreProperties>
</file>