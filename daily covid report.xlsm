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alyishere\covid_analysis\"/>
    </mc:Choice>
  </mc:AlternateContent>
  <xr:revisionPtr revIDLastSave="0" documentId="13_ncr:1_{29960696-9866-4620-AEE8-F1C769CADD48}" xr6:coauthVersionLast="45" xr6:coauthVersionMax="45" xr10:uidLastSave="{00000000-0000-0000-0000-000000000000}"/>
  <bookViews>
    <workbookView xWindow="30" yWindow="630" windowWidth="28770" windowHeight="14970" xr2:uid="{9478044A-5771-4715-AC20-4E3ABA1818BB}"/>
  </bookViews>
  <sheets>
    <sheet name="data" sheetId="1" r:id="rId1"/>
    <sheet name="repor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2" l="1"/>
  <c r="B2" i="2"/>
  <c r="C2" i="2"/>
  <c r="D2" i="2"/>
  <c r="E2" i="2"/>
  <c r="F2" i="2"/>
  <c r="G2" i="2"/>
  <c r="H2" i="2"/>
  <c r="I2" i="2"/>
  <c r="B3" i="2"/>
  <c r="C3" i="2"/>
  <c r="D3" i="2"/>
  <c r="E3" i="2"/>
  <c r="F3" i="2"/>
  <c r="G3" i="2"/>
  <c r="H3" i="2"/>
  <c r="I3" i="2"/>
  <c r="B4" i="2"/>
  <c r="C4" i="2"/>
  <c r="D4" i="2"/>
  <c r="E4" i="2"/>
  <c r="F4" i="2"/>
  <c r="G4" i="2"/>
  <c r="H4" i="2"/>
  <c r="I4" i="2"/>
  <c r="B5" i="2"/>
  <c r="C5" i="2"/>
  <c r="D5" i="2"/>
  <c r="E5" i="2"/>
  <c r="F5" i="2"/>
  <c r="G5" i="2"/>
  <c r="H5" i="2"/>
  <c r="I5" i="2"/>
  <c r="B6" i="2"/>
  <c r="C6" i="2"/>
  <c r="D6" i="2"/>
  <c r="E6" i="2"/>
  <c r="F6" i="2"/>
  <c r="G6" i="2"/>
  <c r="H6" i="2"/>
  <c r="I6" i="2"/>
  <c r="B7" i="2"/>
  <c r="C7" i="2"/>
  <c r="D7" i="2"/>
  <c r="E7" i="2"/>
  <c r="F7" i="2"/>
  <c r="G7" i="2"/>
  <c r="H7" i="2"/>
  <c r="I7" i="2"/>
  <c r="B8" i="2"/>
  <c r="C8" i="2"/>
  <c r="D8" i="2"/>
  <c r="E8" i="2"/>
  <c r="F8" i="2"/>
  <c r="G8" i="2"/>
  <c r="H8" i="2"/>
  <c r="I8" i="2"/>
  <c r="A3" i="2"/>
  <c r="A4" i="2"/>
  <c r="A5" i="2"/>
  <c r="A6" i="2"/>
  <c r="A7" i="2"/>
  <c r="A8" i="2"/>
</calcChain>
</file>

<file path=xl/sharedStrings.xml><?xml version="1.0" encoding="utf-8"?>
<sst xmlns="http://schemas.openxmlformats.org/spreadsheetml/2006/main" count="30" uniqueCount="22">
  <si>
    <t>date</t>
  </si>
  <si>
    <t>cases</t>
  </si>
  <si>
    <t>deaths</t>
  </si>
  <si>
    <t>new cases</t>
  </si>
  <si>
    <t>new deaths</t>
  </si>
  <si>
    <t>infection rate</t>
  </si>
  <si>
    <t>infection rate weekly avg</t>
  </si>
  <si>
    <t>case growth</t>
  </si>
  <si>
    <t>日期</t>
  </si>
  <si>
    <t>总感染人数</t>
  </si>
  <si>
    <t>总死亡人数</t>
  </si>
  <si>
    <t>新感染人数</t>
  </si>
  <si>
    <t>新死亡人数</t>
  </si>
  <si>
    <t>当前感染人数</t>
  </si>
  <si>
    <t>感染率</t>
  </si>
  <si>
    <t>总感染人数增长率</t>
  </si>
  <si>
    <t>感染率（周平均）</t>
  </si>
  <si>
    <t>趋势图</t>
  </si>
  <si>
    <t>：过去21天新感染人数-新死亡人数总合</t>
  </si>
  <si>
    <t>：新感染人数/当前感染人数</t>
  </si>
  <si>
    <t>：新感染人数/总感染人数</t>
  </si>
  <si>
    <t>current 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</si>
</sst>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icrosoft YaHei Light"/>
      <family val="2"/>
      <charset val="134"/>
    </font>
    <font>
      <b/>
      <sz val="11"/>
      <color theme="4" tint="-0.249977111117893"/>
      <name val="Microsoft YaHei Light"/>
      <family val="2"/>
      <charset val="134"/>
    </font>
    <font>
      <b/>
      <sz val="11"/>
      <color theme="1"/>
      <name val="Microsoft YaHei Light"/>
      <family val="2"/>
      <charset val="134"/>
    </font>
    <font>
      <b/>
      <sz val="16"/>
      <color theme="4" tint="-0.249977111117893"/>
      <name val="Microsoft YaHei Light"/>
      <family val="2"/>
      <charset val="134"/>
    </font>
    <font>
      <i/>
      <sz val="11"/>
      <color theme="4" tint="-0.249977111117893"/>
      <name val="Microsoft YaHei Light"/>
      <family val="2"/>
      <charset val="134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 indent="2"/>
    </xf>
    <xf numFmtId="10" fontId="0" fillId="0" borderId="0" xfId="1" applyNumberFormat="1" applyFont="1" applyAlignment="1">
      <alignment horizontal="right" indent="2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4" fillId="0" borderId="0" xfId="0" applyFont="1" applyAlignment="1"/>
    <xf numFmtId="0" fontId="4" fillId="0" borderId="0" xfId="0" applyFont="1" applyAlignment="1">
      <alignment vertical="center"/>
    </xf>
    <xf numFmtId="0" fontId="3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</cellXfs>
  <cellStyles count="2">
    <cellStyle name="Normal" xfId="0" builtinId="0"/>
    <cellStyle name="Percent" xfId="1" builtinId="5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right" vertical="bottom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right" vertical="bottom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right" vertical="bottom" textRotation="0" wrapText="0" relativeIndent="1" justifyLastLine="0" shrinkToFit="0" readingOrder="0"/>
    </dxf>
    <dxf>
      <alignment horizontal="right" vertical="bottom" textRotation="0" wrapText="0" relativeIndent="1" justifyLastLine="0" shrinkToFit="0" readingOrder="0"/>
    </dxf>
    <dxf>
      <alignment horizontal="right" vertical="bottom" textRotation="0" wrapText="0" relativeIndent="1" justifyLastLine="0" shrinkToFit="0" readingOrder="0"/>
    </dxf>
    <dxf>
      <alignment horizontal="right" vertical="bottom" textRotation="0" wrapText="0" relativeIndent="1" justifyLastLine="0" shrinkToFit="0" readingOrder="0"/>
    </dxf>
    <dxf>
      <alignment horizontal="right" vertical="bottom" textRotation="0" wrapText="0" relativeIndent="1" justifyLastLine="0" shrinkToFit="0" readingOrder="0"/>
    </dxf>
    <dxf>
      <alignment horizontal="right" vertical="bottom" textRotation="0" wrapText="0" relativeIndent="1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3" justifyLastLine="0" shrinkToFit="0" readingOrder="0"/>
    </dxf>
    <dxf>
      <font>
        <strike val="0"/>
        <outline val="0"/>
        <shadow val="0"/>
        <u val="none"/>
        <vertAlign val="baseline"/>
        <color theme="1"/>
        <name val="Microsoft YaHei Light"/>
        <family val="2"/>
        <charset val="134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1</xdr:row>
          <xdr:rowOff>161925</xdr:rowOff>
        </xdr:from>
        <xdr:to>
          <xdr:col>12</xdr:col>
          <xdr:colOff>504825</xdr:colOff>
          <xdr:row>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Report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68036</xdr:rowOff>
    </xdr:from>
    <xdr:to>
      <xdr:col>2</xdr:col>
      <xdr:colOff>807357</xdr:colOff>
      <xdr:row>23</xdr:row>
      <xdr:rowOff>68036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86000"/>
          <a:ext cx="3175000" cy="228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13607</xdr:colOff>
      <xdr:row>11</xdr:row>
      <xdr:rowOff>68036</xdr:rowOff>
    </xdr:from>
    <xdr:to>
      <xdr:col>5</xdr:col>
      <xdr:colOff>1093107</xdr:colOff>
      <xdr:row>23</xdr:row>
      <xdr:rowOff>68036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0" y="2286000"/>
          <a:ext cx="3175000" cy="2286000"/>
        </a:xfrm>
        <a:prstGeom prst="rect">
          <a:avLst/>
        </a:prstGeom>
      </xdr:spPr>
    </xdr:pic>
    <xdr:clientData/>
  </xdr:twoCellAnchor>
  <xdr:twoCellAnchor editAs="oneCell">
    <xdr:from>
      <xdr:col>6</xdr:col>
      <xdr:colOff>27214</xdr:colOff>
      <xdr:row>11</xdr:row>
      <xdr:rowOff>68036</xdr:rowOff>
    </xdr:from>
    <xdr:to>
      <xdr:col>8</xdr:col>
      <xdr:colOff>875393</xdr:colOff>
      <xdr:row>23</xdr:row>
      <xdr:rowOff>68036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2286000"/>
          <a:ext cx="3175000" cy="228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54429</xdr:rowOff>
    </xdr:from>
    <xdr:to>
      <xdr:col>2</xdr:col>
      <xdr:colOff>807357</xdr:colOff>
      <xdr:row>37</xdr:row>
      <xdr:rowOff>54429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953000"/>
          <a:ext cx="3175000" cy="228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13607</xdr:colOff>
      <xdr:row>25</xdr:row>
      <xdr:rowOff>54429</xdr:rowOff>
    </xdr:from>
    <xdr:to>
      <xdr:col>5</xdr:col>
      <xdr:colOff>1093107</xdr:colOff>
      <xdr:row>37</xdr:row>
      <xdr:rowOff>54429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0" y="4953000"/>
          <a:ext cx="3175000" cy="2286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742283-22BD-4E6E-AA67-665AB9C63A11}" name="Table1" displayName="Table1" ref="A1:I8" totalsRowShown="0" headerRowDxfId="10" dataDxfId="9" dataCellStyle="Percent">
  <autoFilter ref="A1:I8" xr:uid="{39A7EB20-B8A7-4A88-8756-885B6957C778}"/>
  <tableColumns count="9">
    <tableColumn id="1" xr3:uid="{8055E020-ADEC-462C-92D9-6C1A6F2C1D2B}" name="日期" dataDxfId="8">
      <calculatedColumnFormula>data!B2</calculatedColumnFormula>
    </tableColumn>
    <tableColumn id="4" xr3:uid="{B7762C95-4E5D-4D0B-8638-998A78029AAE}" name="总感染人数" dataDxfId="7"/>
    <tableColumn id="5" xr3:uid="{B1575B0B-C484-4805-9C4B-3F5A8C50587C}" name="总死亡人数" dataDxfId="6"/>
    <tableColumn id="7" xr3:uid="{C6A53FA1-DC57-4113-AFCC-13D11A12F91E}" name="新感染人数" dataDxfId="5"/>
    <tableColumn id="8" xr3:uid="{A3F647EA-02E1-42F2-B42D-8DE7EA05E5D5}" name="新死亡人数" dataDxfId="4"/>
    <tableColumn id="10" xr3:uid="{8E6BF0EA-C9C0-431A-B92E-19B924E02C65}" name="当前感染人数" dataDxfId="3"/>
    <tableColumn id="11" xr3:uid="{7BA27AF2-8828-42F6-99E3-9A51CBF35F04}" name="感染率" dataDxfId="2" dataCellStyle="Percent"/>
    <tableColumn id="12" xr3:uid="{D578E959-C802-49E0-B0CD-6F1252D2CFD6}" name="感染率（周平均）" dataDxfId="1" dataCellStyle="Percent"/>
    <tableColumn id="13" xr3:uid="{C9829933-1B97-4B95-9F70-4C4DBA4B5B74}" name="总感染人数增长率" dataDxfId="0" dataCellStyle="Percent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829D6-0E5C-4DE5-9E47-1BDDE9564EC3}">
  <sheetPr codeName="Sheet1"/>
  <dimension ref="B1:J8"/>
  <sheetViews>
    <sheetView tabSelected="1" workbookViewId="0">
      <selection activeCell="M8" sqref="M8"/>
    </sheetView>
  </sheetViews>
  <sheetFormatPr defaultRowHeight="15" x14ac:dyDescent="0.25"/>
  <cols>
    <col min="2" max="2" width="10.7109375" bestFit="1" customWidth="1"/>
  </cols>
  <sheetData>
    <row r="1" spans="2:10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21</v>
      </c>
      <c r="H1" t="s">
        <v>5</v>
      </c>
      <c r="I1" t="s">
        <v>6</v>
      </c>
      <c r="J1" t="s">
        <v>7</v>
      </c>
    </row>
    <row r="2" spans="2:10" x14ac:dyDescent="0.25">
      <c r="B2" s="1">
        <v>44151</v>
      </c>
      <c r="C2">
        <v>65681</v>
      </c>
      <c r="D2">
        <v>353</v>
      </c>
      <c r="E2">
        <v>887</v>
      </c>
      <c r="F2">
        <v>2</v>
      </c>
      <c r="G2">
        <v>20119</v>
      </c>
      <c r="H2">
        <v>4.40876783140315E-2</v>
      </c>
      <c r="I2">
        <v>6.3024657709804394E-2</v>
      </c>
      <c r="J2">
        <v>1.368953915486E-2</v>
      </c>
    </row>
    <row r="3" spans="2:10" x14ac:dyDescent="0.25">
      <c r="B3" s="1">
        <v>44152</v>
      </c>
      <c r="C3">
        <v>66727</v>
      </c>
      <c r="D3">
        <v>356</v>
      </c>
      <c r="E3">
        <v>1046</v>
      </c>
      <c r="F3">
        <v>3</v>
      </c>
      <c r="G3">
        <v>20701</v>
      </c>
      <c r="H3">
        <v>5.0528959953625399E-2</v>
      </c>
      <c r="I3">
        <v>6.2039942264260503E-2</v>
      </c>
      <c r="J3">
        <v>1.59254578949772E-2</v>
      </c>
    </row>
    <row r="4" spans="2:10" x14ac:dyDescent="0.25">
      <c r="B4" s="1">
        <v>44153</v>
      </c>
      <c r="C4">
        <v>67942</v>
      </c>
      <c r="D4">
        <v>360</v>
      </c>
      <c r="E4">
        <v>1215</v>
      </c>
      <c r="F4">
        <v>4</v>
      </c>
      <c r="G4">
        <v>21214</v>
      </c>
      <c r="H4">
        <v>5.7273498632978197E-2</v>
      </c>
      <c r="I4">
        <v>6.1919801778149701E-2</v>
      </c>
      <c r="J4">
        <v>1.8208521288234102E-2</v>
      </c>
    </row>
    <row r="5" spans="2:10" x14ac:dyDescent="0.25">
      <c r="B5" s="1">
        <v>44154</v>
      </c>
      <c r="C5">
        <v>69503</v>
      </c>
      <c r="D5">
        <v>364</v>
      </c>
      <c r="E5">
        <v>1561</v>
      </c>
      <c r="F5">
        <v>4</v>
      </c>
      <c r="G5">
        <v>22018</v>
      </c>
      <c r="H5">
        <v>7.0896539195203903E-2</v>
      </c>
      <c r="I5">
        <v>6.1153346808332898E-2</v>
      </c>
      <c r="J5">
        <v>2.2975479085101998E-2</v>
      </c>
    </row>
    <row r="6" spans="2:10" x14ac:dyDescent="0.25">
      <c r="B6" s="1">
        <v>44155</v>
      </c>
      <c r="C6">
        <v>71088</v>
      </c>
      <c r="D6">
        <v>371</v>
      </c>
      <c r="E6">
        <v>1585</v>
      </c>
      <c r="F6">
        <v>7</v>
      </c>
      <c r="G6">
        <v>22696</v>
      </c>
      <c r="H6">
        <v>6.9836094465985196E-2</v>
      </c>
      <c r="I6">
        <v>6.4660989014771297E-2</v>
      </c>
      <c r="J6">
        <v>2.2804771017078399E-2</v>
      </c>
    </row>
    <row r="7" spans="2:10" x14ac:dyDescent="0.25">
      <c r="B7" s="1">
        <v>44156</v>
      </c>
      <c r="C7">
        <v>72206</v>
      </c>
      <c r="D7">
        <v>378</v>
      </c>
      <c r="E7">
        <v>1118</v>
      </c>
      <c r="F7">
        <v>7</v>
      </c>
      <c r="G7">
        <v>23050</v>
      </c>
      <c r="H7">
        <v>4.8503253796095401E-2</v>
      </c>
      <c r="I7">
        <v>5.6172463233147299E-2</v>
      </c>
      <c r="J7">
        <v>1.5726986270537899E-2</v>
      </c>
    </row>
    <row r="8" spans="2:10" x14ac:dyDescent="0.25">
      <c r="B8" s="1">
        <v>44157</v>
      </c>
      <c r="C8">
        <v>73469</v>
      </c>
      <c r="D8">
        <v>380</v>
      </c>
      <c r="E8">
        <v>1263</v>
      </c>
      <c r="F8">
        <v>2</v>
      </c>
      <c r="G8">
        <v>23516</v>
      </c>
      <c r="H8">
        <v>5.3708113624766102E-2</v>
      </c>
      <c r="I8">
        <v>5.6404876854669397E-2</v>
      </c>
      <c r="J8">
        <v>1.74916211949145E-2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C1E66-17D2-4828-BF9D-A9FA6502D244}">
  <sheetPr codeName="Sheet2">
    <pageSetUpPr fitToPage="1"/>
  </sheetPr>
  <dimension ref="A1:I42"/>
  <sheetViews>
    <sheetView showGridLines="0" zoomScale="70" zoomScaleNormal="70" zoomScaleSheetLayoutView="85" zoomScalePageLayoutView="85" workbookViewId="0">
      <selection activeCell="R13" sqref="R13"/>
    </sheetView>
  </sheetViews>
  <sheetFormatPr defaultRowHeight="15" x14ac:dyDescent="0.25"/>
  <cols>
    <col min="1" max="1" width="19.7109375" customWidth="1"/>
    <col min="2" max="5" width="15.7109375" customWidth="1"/>
    <col min="6" max="6" width="16.85546875" customWidth="1"/>
    <col min="7" max="7" width="15.7109375" customWidth="1"/>
    <col min="8" max="8" width="19.140625" customWidth="1"/>
    <col min="9" max="9" width="20.28515625" customWidth="1"/>
  </cols>
  <sheetData>
    <row r="1" spans="1:9" ht="16.5" x14ac:dyDescent="0.25">
      <c r="A1" s="5" t="s">
        <v>8</v>
      </c>
      <c r="B1" s="5" t="s">
        <v>9</v>
      </c>
      <c r="C1" s="5" t="s">
        <v>10</v>
      </c>
      <c r="D1" s="5" t="s">
        <v>11</v>
      </c>
      <c r="E1" s="5" t="s">
        <v>12</v>
      </c>
      <c r="F1" s="5" t="s">
        <v>13</v>
      </c>
      <c r="G1" s="5" t="s">
        <v>14</v>
      </c>
      <c r="H1" s="5" t="s">
        <v>16</v>
      </c>
      <c r="I1" s="5" t="s">
        <v>15</v>
      </c>
    </row>
    <row r="2" spans="1:9" x14ac:dyDescent="0.25">
      <c r="A2" s="2">
        <f>data!B2</f>
        <v>44151</v>
      </c>
      <c r="B2" s="3">
        <f>data!C2</f>
        <v>65681</v>
      </c>
      <c r="C2" s="3">
        <f>data!D2</f>
        <v>353</v>
      </c>
      <c r="D2" s="3">
        <f>data!E2</f>
        <v>887</v>
      </c>
      <c r="E2" s="3">
        <f>data!F2</f>
        <v>2</v>
      </c>
      <c r="F2" s="3">
        <f>data!G2</f>
        <v>20119</v>
      </c>
      <c r="G2" s="4">
        <f>data!H2</f>
        <v>4.40876783140315E-2</v>
      </c>
      <c r="H2" s="4">
        <f>data!I2</f>
        <v>6.3024657709804394E-2</v>
      </c>
      <c r="I2" s="4">
        <f>data!J2</f>
        <v>1.368953915486E-2</v>
      </c>
    </row>
    <row r="3" spans="1:9" x14ac:dyDescent="0.25">
      <c r="A3" s="2">
        <f>data!B3</f>
        <v>44152</v>
      </c>
      <c r="B3" s="3">
        <f>data!C3</f>
        <v>66727</v>
      </c>
      <c r="C3" s="3">
        <f>data!D3</f>
        <v>356</v>
      </c>
      <c r="D3" s="3">
        <f>data!E3</f>
        <v>1046</v>
      </c>
      <c r="E3" s="3">
        <f>data!F3</f>
        <v>3</v>
      </c>
      <c r="F3" s="3">
        <f>data!G3</f>
        <v>20701</v>
      </c>
      <c r="G3" s="4">
        <f>data!H3</f>
        <v>5.0528959953625399E-2</v>
      </c>
      <c r="H3" s="4">
        <f>data!I3</f>
        <v>6.2039942264260503E-2</v>
      </c>
      <c r="I3" s="4">
        <f>data!J3</f>
        <v>1.59254578949772E-2</v>
      </c>
    </row>
    <row r="4" spans="1:9" x14ac:dyDescent="0.25">
      <c r="A4" s="2">
        <f>data!B4</f>
        <v>44153</v>
      </c>
      <c r="B4" s="3">
        <f>data!C4</f>
        <v>67942</v>
      </c>
      <c r="C4" s="3">
        <f>data!D4</f>
        <v>360</v>
      </c>
      <c r="D4" s="3">
        <f>data!E4</f>
        <v>1215</v>
      </c>
      <c r="E4" s="3">
        <f>data!F4</f>
        <v>4</v>
      </c>
      <c r="F4" s="3">
        <f>data!G4</f>
        <v>21214</v>
      </c>
      <c r="G4" s="4">
        <f>data!H4</f>
        <v>5.7273498632978197E-2</v>
      </c>
      <c r="H4" s="4">
        <f>data!I4</f>
        <v>6.1919801778149701E-2</v>
      </c>
      <c r="I4" s="4">
        <f>data!J4</f>
        <v>1.8208521288234102E-2</v>
      </c>
    </row>
    <row r="5" spans="1:9" x14ac:dyDescent="0.25">
      <c r="A5" s="2">
        <f>data!B5</f>
        <v>44154</v>
      </c>
      <c r="B5" s="3">
        <f>data!C5</f>
        <v>69503</v>
      </c>
      <c r="C5" s="3">
        <f>data!D5</f>
        <v>364</v>
      </c>
      <c r="D5" s="3">
        <f>data!E5</f>
        <v>1561</v>
      </c>
      <c r="E5" s="3">
        <f>data!F5</f>
        <v>4</v>
      </c>
      <c r="F5" s="3">
        <f>data!G5</f>
        <v>22018</v>
      </c>
      <c r="G5" s="4">
        <f>data!H5</f>
        <v>7.0896539195203903E-2</v>
      </c>
      <c r="H5" s="4">
        <f>data!I5</f>
        <v>6.1153346808332898E-2</v>
      </c>
      <c r="I5" s="4">
        <f>data!J5</f>
        <v>2.2975479085101998E-2</v>
      </c>
    </row>
    <row r="6" spans="1:9" x14ac:dyDescent="0.25">
      <c r="A6" s="2">
        <f>data!B6</f>
        <v>44155</v>
      </c>
      <c r="B6" s="3">
        <f>data!C6</f>
        <v>71088</v>
      </c>
      <c r="C6" s="3">
        <f>data!D6</f>
        <v>371</v>
      </c>
      <c r="D6" s="3">
        <f>data!E6</f>
        <v>1585</v>
      </c>
      <c r="E6" s="3">
        <f>data!F6</f>
        <v>7</v>
      </c>
      <c r="F6" s="3">
        <f>data!G6</f>
        <v>22696</v>
      </c>
      <c r="G6" s="4">
        <f>data!H6</f>
        <v>6.9836094465985196E-2</v>
      </c>
      <c r="H6" s="4">
        <f>data!I6</f>
        <v>6.4660989014771297E-2</v>
      </c>
      <c r="I6" s="4">
        <f>data!J6</f>
        <v>2.2804771017078399E-2</v>
      </c>
    </row>
    <row r="7" spans="1:9" x14ac:dyDescent="0.25">
      <c r="A7" s="2">
        <f>data!B7</f>
        <v>44156</v>
      </c>
      <c r="B7" s="3">
        <f>data!C7</f>
        <v>72206</v>
      </c>
      <c r="C7" s="3">
        <f>data!D7</f>
        <v>378</v>
      </c>
      <c r="D7" s="3">
        <f>data!E7</f>
        <v>1118</v>
      </c>
      <c r="E7" s="3">
        <f>data!F7</f>
        <v>7</v>
      </c>
      <c r="F7" s="3">
        <f>data!G7</f>
        <v>23050</v>
      </c>
      <c r="G7" s="4">
        <f>data!H7</f>
        <v>4.8503253796095401E-2</v>
      </c>
      <c r="H7" s="4">
        <f>data!I7</f>
        <v>5.6172463233147299E-2</v>
      </c>
      <c r="I7" s="4">
        <f>data!J7</f>
        <v>1.5726986270537899E-2</v>
      </c>
    </row>
    <row r="8" spans="1:9" x14ac:dyDescent="0.25">
      <c r="A8" s="2">
        <f>data!B8</f>
        <v>44157</v>
      </c>
      <c r="B8" s="3">
        <f>data!C8</f>
        <v>73469</v>
      </c>
      <c r="C8" s="3">
        <f>data!D8</f>
        <v>380</v>
      </c>
      <c r="D8" s="3">
        <f>data!E8</f>
        <v>1263</v>
      </c>
      <c r="E8" s="3">
        <f>data!F8</f>
        <v>2</v>
      </c>
      <c r="F8" s="3">
        <f>data!G8</f>
        <v>23516</v>
      </c>
      <c r="G8" s="4">
        <f>data!H8</f>
        <v>5.3708113624766102E-2</v>
      </c>
      <c r="H8" s="4">
        <f>data!I8</f>
        <v>5.6404876854669397E-2</v>
      </c>
      <c r="I8" s="4">
        <f>data!J8</f>
        <v>1.74916211949145E-2</v>
      </c>
    </row>
    <row r="9" spans="1:9" x14ac:dyDescent="0.25">
      <c r="A9" s="2"/>
      <c r="B9" s="3"/>
      <c r="C9" s="3"/>
      <c r="D9" s="3"/>
      <c r="E9" s="3"/>
      <c r="F9" s="3"/>
      <c r="G9" s="4"/>
      <c r="H9" s="4"/>
      <c r="I9" s="4"/>
    </row>
    <row r="10" spans="1:9" ht="22.5" x14ac:dyDescent="0.25">
      <c r="A10" s="10" t="s">
        <v>17</v>
      </c>
      <c r="B10" s="3"/>
      <c r="C10" s="3"/>
      <c r="D10" s="3"/>
      <c r="E10" s="3"/>
      <c r="F10" s="3"/>
      <c r="G10" s="4"/>
      <c r="H10" s="4"/>
      <c r="I10" s="4"/>
    </row>
    <row r="11" spans="1:9" ht="16.5" x14ac:dyDescent="0.3">
      <c r="A11" s="9" t="s">
        <v>9</v>
      </c>
      <c r="B11" s="7"/>
      <c r="C11" s="7"/>
      <c r="D11" s="9" t="s">
        <v>11</v>
      </c>
      <c r="E11" s="8"/>
      <c r="F11" s="8"/>
      <c r="G11" s="9" t="s">
        <v>13</v>
      </c>
      <c r="H11" s="7"/>
    </row>
    <row r="25" spans="1:6" s="6" customFormat="1" ht="16.5" x14ac:dyDescent="0.3">
      <c r="A25" s="9" t="s">
        <v>15</v>
      </c>
      <c r="B25" s="7"/>
      <c r="C25" s="7"/>
      <c r="D25" s="9" t="s">
        <v>16</v>
      </c>
      <c r="E25" s="7"/>
      <c r="F25" s="7"/>
    </row>
    <row r="40" spans="1:2" ht="16.5" x14ac:dyDescent="0.25">
      <c r="A40" s="11" t="s">
        <v>13</v>
      </c>
      <c r="B40" s="11" t="s">
        <v>18</v>
      </c>
    </row>
    <row r="41" spans="1:2" ht="16.5" x14ac:dyDescent="0.25">
      <c r="A41" s="11" t="s">
        <v>14</v>
      </c>
      <c r="B41" s="11" t="s">
        <v>19</v>
      </c>
    </row>
    <row r="42" spans="1:2" ht="16.5" x14ac:dyDescent="0.25">
      <c r="A42" s="11" t="s">
        <v>15</v>
      </c>
      <c r="B42" s="11" t="s">
        <v>20</v>
      </c>
    </row>
  </sheetData>
  <pageMargins left="0.25" right="0.25" top="0.75" bottom="0.75" header="0.3" footer="0.3"/>
  <pageSetup scale="80" orientation="landscape" r:id="rId1"/>
  <headerFooter>
    <oddHeader xml:space="preserve">&amp;L&amp;"Microsoft YaHei Light,Bold"&amp;20&amp;K04-023盐湖城新冠报告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pareReport">
                <anchor moveWithCells="1" sizeWithCells="1">
                  <from>
                    <xdr:col>10</xdr:col>
                    <xdr:colOff>133350</xdr:colOff>
                    <xdr:row>1</xdr:row>
                    <xdr:rowOff>161925</xdr:rowOff>
                  </from>
                  <to>
                    <xdr:col>12</xdr:col>
                    <xdr:colOff>504825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 Lu</dc:creator>
  <cp:lastModifiedBy>Yi Lu</cp:lastModifiedBy>
  <cp:lastPrinted>2020-11-23T22:22:49Z</cp:lastPrinted>
  <dcterms:created xsi:type="dcterms:W3CDTF">2020-11-19T22:39:44Z</dcterms:created>
  <dcterms:modified xsi:type="dcterms:W3CDTF">2020-11-23T22:34:27Z</dcterms:modified>
</cp:coreProperties>
</file>